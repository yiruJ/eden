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Data" sheetId="2" state="visible" r:id="rId2"/>
  </sheets>
  <definedNames>
    <definedName name="_xlnm.Print_Area" localSheetId="0">'Invoice'!$A$1:$G$43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Playfair Display"/>
      <b val="1"/>
      <color rgb="004AAF81"/>
      <sz val="28"/>
    </font>
    <font>
      <name val="Arial"/>
      <b val="1"/>
      <color rgb="001A1A1A"/>
      <sz val="11"/>
    </font>
    <font>
      <name val="Arial"/>
      <color rgb="001A1A1A"/>
      <sz val="10"/>
    </font>
    <font>
      <name val="Arial"/>
      <color rgb="006B7280"/>
      <sz val="10"/>
    </font>
    <font>
      <name val="Arial"/>
      <b val="1"/>
      <color rgb="006B7280"/>
      <sz val="8"/>
    </font>
    <font>
      <name val="Arial"/>
      <b val="1"/>
      <color rgb="001A1A1A"/>
      <sz val="13"/>
    </font>
    <font>
      <name val="Arial"/>
      <b val="1"/>
      <color rgb="006B7280"/>
      <sz val="9"/>
    </font>
    <font>
      <name val="Arial"/>
      <b val="1"/>
      <color rgb="00EC2F44"/>
      <sz val="10"/>
    </font>
    <font>
      <name val="Arial"/>
      <b val="1"/>
      <color rgb="00FFFFFF"/>
      <sz val="9"/>
    </font>
    <font>
      <name val="Arial"/>
      <b val="1"/>
      <color rgb="001A1A1A"/>
      <sz val="12"/>
    </font>
    <font>
      <name val="Arial"/>
      <b val="1"/>
      <color rgb="004AAF81"/>
      <sz val="12"/>
    </font>
    <font>
      <name val="Arial"/>
      <i val="1"/>
      <color rgb="006B7280"/>
      <sz val="9"/>
    </font>
    <font>
      <name val="Arial"/>
      <b val="1"/>
      <color rgb="004AAF81"/>
      <sz val="10"/>
    </font>
    <font>
      <name val="Arial"/>
      <i val="1"/>
      <color rgb="004AAF81"/>
      <sz val="9"/>
    </font>
    <font>
      <name val="Arial"/>
      <b val="1"/>
      <sz val="10"/>
    </font>
    <font>
      <name val="Arial"/>
      <color rgb="000000FF"/>
      <sz val="10"/>
    </font>
    <font>
      <name val="Arial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4AAF81"/>
      </patternFill>
    </fill>
    <fill>
      <patternFill patternType="solid">
        <fgColor rgb="00EEF6F1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bottom style="medium">
        <color rgb="004AAF81"/>
      </bottom>
    </border>
    <border>
      <bottom style="thin">
        <color rgb="00D9D9D9"/>
      </bottom>
    </border>
    <border>
      <bottom style="thin">
        <color rgb="004AAF81"/>
      </bottom>
    </border>
    <border>
      <top style="thin">
        <color rgb="004AAF81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3" fillId="0" borderId="2" pivotButton="0" quotePrefix="0" xfId="0"/>
    <xf numFmtId="4" fontId="3" fillId="0" borderId="2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0" fillId="0" borderId="0" pivotButton="0" quotePrefix="0" xfId="0"/>
    <xf numFmtId="0" fontId="0" fillId="0" borderId="3" pivotButton="0" quotePrefix="0" xfId="0"/>
    <xf numFmtId="0" fontId="10" fillId="3" borderId="3" applyAlignment="1" pivotButton="0" quotePrefix="0" xfId="0">
      <alignment horizontal="right" vertical="center"/>
    </xf>
    <xf numFmtId="4" fontId="11" fillId="3" borderId="3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13" fillId="3" borderId="4" pivotButton="0" quotePrefix="0" xfId="0"/>
    <xf numFmtId="0" fontId="0" fillId="3" borderId="4" pivotButton="0" quotePrefix="0" xfId="0"/>
    <xf numFmtId="0" fontId="3" fillId="3" borderId="0" pivotButton="0" quotePrefix="0" xfId="0"/>
    <xf numFmtId="0" fontId="0" fillId="3" borderId="0" pivotButton="0" quotePrefix="0" xfId="0"/>
    <xf numFmtId="0" fontId="13" fillId="3" borderId="0" pivotButton="0" quotePrefix="0" xfId="0"/>
    <xf numFmtId="0" fontId="3" fillId="3" borderId="3" pivotButton="0" quotePrefix="0" xfId="0"/>
    <xf numFmtId="0" fontId="0" fillId="3" borderId="3" pivotButton="0" quotePrefix="0" xfId="0"/>
    <xf numFmtId="0" fontId="14" fillId="0" borderId="0" pivotButton="0" quotePrefix="0" xfId="0"/>
    <xf numFmtId="0" fontId="11" fillId="0" borderId="0" pivotButton="0" quotePrefix="0" xfId="0"/>
    <xf numFmtId="0" fontId="15" fillId="0" borderId="0" pivotButton="0" quotePrefix="0" xfId="0"/>
    <xf numFmtId="0" fontId="16" fillId="4" borderId="0" pivotButton="0" quotePrefix="0" xfId="0"/>
    <xf numFmtId="0" fontId="17" fillId="0" borderId="0" pivotButton="0" quotePrefix="0" xfId="0"/>
    <xf numFmtId="4" fontId="1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8763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4" customWidth="1" min="4" max="4"/>
    <col width="9" customWidth="1" min="5" max="5"/>
    <col width="11" customWidth="1" min="6" max="6"/>
    <col width="13" customWidth="1" min="7" max="7"/>
  </cols>
  <sheetData>
    <row r="1" ht="42" customHeight="1">
      <c r="A1" s="1" t="inlineStr">
        <is>
          <t>INVOICE</t>
        </is>
      </c>
    </row>
    <row r="2" ht="15" customHeight="1"/>
    <row r="3" ht="15" customHeight="1">
      <c r="A3" s="2" t="inlineStr">
        <is>
          <t>Eden Music Academy</t>
        </is>
      </c>
    </row>
    <row r="4" ht="15" customHeight="1">
      <c r="A4" s="3" t="inlineStr">
        <is>
          <t>24 / 48 Cooper St</t>
        </is>
      </c>
    </row>
    <row r="5" ht="15" customHeight="1">
      <c r="A5" s="3" t="inlineStr">
        <is>
          <t>STRATHFIELD NSW 2137, AUSTRALIA</t>
        </is>
      </c>
    </row>
    <row r="6" ht="15" customHeight="1">
      <c r="A6" s="4" t="inlineStr">
        <is>
          <t>ABN: 42113569988</t>
        </is>
      </c>
    </row>
    <row r="7" ht="10" customHeight="1">
      <c r="A7" s="5" t="n"/>
      <c r="B7" s="5" t="n"/>
      <c r="C7" s="5" t="n"/>
      <c r="D7" s="5" t="n"/>
      <c r="E7" s="5" t="n"/>
      <c r="F7" s="5" t="n"/>
      <c r="G7" s="5" t="n"/>
    </row>
    <row r="8" ht="15" customHeight="1"/>
    <row r="9" ht="20" customHeight="1">
      <c r="A9" s="6" t="inlineStr">
        <is>
          <t>BILL TO</t>
        </is>
      </c>
      <c r="F9" s="7" t="inlineStr">
        <is>
          <t>Invoice number</t>
        </is>
      </c>
      <c r="G9" s="8">
        <f>Data!B2</f>
        <v/>
      </c>
    </row>
    <row r="10" ht="20" customHeight="1">
      <c r="A10" s="9">
        <f>Data!B5</f>
        <v/>
      </c>
      <c r="F10" s="7" t="inlineStr">
        <is>
          <t>Invoice date</t>
        </is>
      </c>
      <c r="G10" s="8">
        <f>Data!B3</f>
        <v/>
      </c>
    </row>
    <row r="11" ht="20" customHeight="1">
      <c r="A11" s="4">
        <f>Data!B6</f>
        <v/>
      </c>
      <c r="F11" s="7" t="inlineStr">
        <is>
          <t>Due date</t>
        </is>
      </c>
      <c r="G11" s="10">
        <f>Data!B4</f>
        <v/>
      </c>
    </row>
    <row r="12" ht="15" customHeight="1"/>
    <row r="13" ht="15" customHeight="1"/>
    <row r="14" ht="22" customHeight="1">
      <c r="A14" s="11" t="inlineStr">
        <is>
          <t>Description</t>
        </is>
      </c>
      <c r="B14" s="11" t="inlineStr">
        <is>
          <t>Lesson Type</t>
        </is>
      </c>
      <c r="C14" s="11" t="inlineStr">
        <is>
          <t>Level</t>
        </is>
      </c>
      <c r="D14" s="11" t="inlineStr">
        <is>
          <t>Lesson Duration</t>
        </is>
      </c>
      <c r="E14" s="12" t="inlineStr">
        <is>
          <t>Quantity</t>
        </is>
      </c>
      <c r="F14" s="12" t="inlineStr">
        <is>
          <t>Unit Price</t>
        </is>
      </c>
      <c r="G14" s="12" t="inlineStr">
        <is>
          <t>Amount AUD</t>
        </is>
      </c>
    </row>
    <row r="15">
      <c r="A15" s="13">
        <f>Data!B7</f>
        <v/>
      </c>
      <c r="B15" s="13">
        <f>Data!B8</f>
        <v/>
      </c>
      <c r="C15" s="13">
        <f>Data!B9</f>
        <v/>
      </c>
      <c r="D15" s="13">
        <f>Data!B10</f>
        <v/>
      </c>
      <c r="E15" s="14">
        <f>Data!B11</f>
        <v/>
      </c>
      <c r="F15" s="14">
        <f>Data!B12</f>
        <v/>
      </c>
      <c r="G15" s="14">
        <f>E15*F15</f>
        <v/>
      </c>
    </row>
    <row r="16" ht="19" customHeight="1">
      <c r="A16" s="4">
        <f>IF(Data!B14=0,"",Data!B13)</f>
        <v/>
      </c>
      <c r="G16" s="15">
        <f>IF(Data!B14=0,"",Data!B14)</f>
        <v/>
      </c>
    </row>
    <row r="17" ht="19" customHeight="1">
      <c r="G17" s="16" t="n"/>
    </row>
    <row r="18" ht="19" customHeight="1">
      <c r="G18" s="16" t="n"/>
    </row>
    <row r="19" ht="19" customHeight="1">
      <c r="G19" s="16" t="n"/>
    </row>
    <row r="20" ht="19" customHeight="1">
      <c r="G20" s="16" t="n"/>
    </row>
    <row r="21" ht="19" customHeight="1">
      <c r="G21" s="16" t="n"/>
    </row>
    <row r="22" ht="12" customHeight="1">
      <c r="F22" s="17" t="n"/>
      <c r="G22" s="17" t="n"/>
    </row>
    <row r="23" ht="24" customHeight="1">
      <c r="F23" s="18" t="inlineStr">
        <is>
          <t>Total</t>
        </is>
      </c>
      <c r="G23" s="19">
        <f>SUM(G15:G21)</f>
        <v/>
      </c>
    </row>
    <row r="24" ht="18" customHeight="1">
      <c r="A24" s="20">
        <f>"Payment due "&amp;Data!B4</f>
        <v/>
      </c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6" customHeight="1">
      <c r="A33" s="21" t="inlineStr">
        <is>
          <t>PAYMENT DETAILS</t>
        </is>
      </c>
    </row>
    <row r="34" ht="14" customHeight="1">
      <c r="A34" s="22" t="inlineStr">
        <is>
          <t>Choose either method below.</t>
        </is>
      </c>
    </row>
    <row r="35" ht="17" customHeight="1">
      <c r="A35" s="23" t="inlineStr">
        <is>
          <t>Bank transfer</t>
        </is>
      </c>
      <c r="B35" s="24" t="n"/>
      <c r="C35" s="24" t="n"/>
      <c r="D35" s="24" t="n"/>
      <c r="E35" s="24" t="n"/>
      <c r="F35" s="24" t="n"/>
      <c r="G35" s="24" t="n"/>
    </row>
    <row r="36" ht="17" customHeight="1">
      <c r="A36" s="25" t="inlineStr">
        <is>
          <t>Name:  DYLAN HYUNWOO LEE</t>
        </is>
      </c>
      <c r="B36" s="26" t="n"/>
      <c r="C36" s="26" t="n"/>
      <c r="D36" s="26" t="n"/>
      <c r="E36" s="26" t="n"/>
      <c r="F36" s="26" t="n"/>
      <c r="G36" s="26" t="n"/>
    </row>
    <row r="37" ht="17" customHeight="1">
      <c r="A37" s="25" t="inlineStr">
        <is>
          <t>BSB:  082 356</t>
        </is>
      </c>
      <c r="B37" s="26" t="n"/>
      <c r="C37" s="26" t="n"/>
      <c r="D37" s="26" t="n"/>
      <c r="E37" s="26" t="n"/>
      <c r="F37" s="26" t="n"/>
      <c r="G37" s="26" t="n"/>
    </row>
    <row r="38" ht="17" customHeight="1">
      <c r="A38" s="25" t="inlineStr">
        <is>
          <t>Account Number:  273579986</t>
        </is>
      </c>
      <c r="B38" s="26" t="n"/>
      <c r="C38" s="26" t="n"/>
      <c r="D38" s="26" t="n"/>
      <c r="E38" s="26" t="n"/>
      <c r="F38" s="26" t="n"/>
      <c r="G38" s="26" t="n"/>
    </row>
    <row r="39" ht="17" customHeight="1">
      <c r="A39" s="25" t="inlineStr"/>
      <c r="B39" s="26" t="n"/>
      <c r="C39" s="26" t="n"/>
      <c r="D39" s="26" t="n"/>
      <c r="E39" s="26" t="n"/>
      <c r="F39" s="26" t="n"/>
      <c r="G39" s="26" t="n"/>
    </row>
    <row r="40" ht="17" customHeight="1">
      <c r="A40" s="27" t="inlineStr">
        <is>
          <t>PayID</t>
        </is>
      </c>
      <c r="B40" s="26" t="n"/>
      <c r="C40" s="26" t="n"/>
      <c r="D40" s="26" t="n"/>
      <c r="E40" s="26" t="n"/>
      <c r="F40" s="26" t="n"/>
      <c r="G40" s="26" t="n"/>
    </row>
    <row r="41" ht="17" customHeight="1">
      <c r="A41" s="28" t="inlineStr">
        <is>
          <t>emacademyinfo@gmail.com</t>
        </is>
      </c>
      <c r="B41" s="29" t="n"/>
      <c r="C41" s="29" t="n"/>
      <c r="D41" s="29" t="n"/>
      <c r="E41" s="29" t="n"/>
      <c r="F41" s="29" t="n"/>
      <c r="G41" s="29" t="n"/>
    </row>
    <row r="42" ht="14" customHeight="1">
      <c r="A42" s="22" t="inlineStr">
        <is>
          <t>Please use the student's name as the payment reference.</t>
        </is>
      </c>
    </row>
    <row r="43" ht="14" customHeight="1">
      <c r="A43" s="30" t="inlineStr">
        <is>
          <t>Thank you for being part of Eden.</t>
        </is>
      </c>
    </row>
  </sheetData>
  <mergeCells count="1">
    <mergeCell ref="A1:B1"/>
  </mergeCells>
  <pageMargins left="0.5" right="0.5" top="0.6" bottom="0.6" header="0" footer="0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80" customWidth="1" min="3" max="3"/>
  </cols>
  <sheetData>
    <row r="1">
      <c r="A1" s="31" t="inlineStr">
        <is>
          <t>FILL MAP</t>
        </is>
      </c>
      <c r="C1" s="22" t="inlineStr">
        <is>
          <t>n8n writes B2:B14 in one range update. Column A is labels only. None of this tab appears on the PDF, which exports the Invoice tab alone via its gid.</t>
        </is>
      </c>
    </row>
    <row r="2">
      <c r="A2" s="32" t="inlineStr">
        <is>
          <t>Invoice number</t>
        </is>
      </c>
      <c r="B2" s="33" t="inlineStr">
        <is>
          <t>INV-0042</t>
        </is>
      </c>
      <c r="C2" s="34" t="inlineStr">
        <is>
          <t>Global sequential, from the Notion Invoices DB.</t>
        </is>
      </c>
    </row>
    <row r="3">
      <c r="A3" s="32" t="inlineStr">
        <is>
          <t>Invoice date</t>
        </is>
      </c>
      <c r="B3" s="33" t="inlineStr">
        <is>
          <t>14 Aug 2026</t>
        </is>
      </c>
      <c r="C3" s="34" t="inlineStr">
        <is>
          <t>Pre-formatted string, so no date-serial or timezone handling.</t>
        </is>
      </c>
    </row>
    <row r="4">
      <c r="A4" s="32" t="inlineStr">
        <is>
          <t>Due date</t>
        </is>
      </c>
      <c r="B4" s="33" t="inlineStr">
        <is>
          <t>19 Aug 2026</t>
        </is>
      </c>
      <c r="C4" s="34" t="inlineStr">
        <is>
          <t>Issue date + 5 days. Also drives the red 'Payment due' line.</t>
        </is>
      </c>
    </row>
    <row r="5">
      <c r="A5" s="32" t="inlineStr">
        <is>
          <t>Student name</t>
        </is>
      </c>
      <c r="B5" s="33" t="inlineStr">
        <is>
          <t>Taylor Tan</t>
        </is>
      </c>
      <c r="C5" s="34" t="inlineStr">
        <is>
          <t>Student profiles: Full name.</t>
        </is>
      </c>
    </row>
    <row r="6">
      <c r="A6" s="32" t="inlineStr">
        <is>
          <t>Parent email</t>
        </is>
      </c>
      <c r="B6" s="33" t="inlineStr">
        <is>
          <t>parent@example.com</t>
        </is>
      </c>
      <c r="C6" s="34" t="inlineStr">
        <is>
          <t>Student profiles: Email. Siblings share one.</t>
        </is>
      </c>
    </row>
    <row r="7">
      <c r="A7" s="32" t="inlineStr">
        <is>
          <t>Description</t>
        </is>
      </c>
      <c r="B7" s="33" t="inlineStr">
        <is>
          <t>Viola</t>
        </is>
      </c>
      <c r="C7" s="34" t="inlineStr">
        <is>
          <t>Student profiles: Instrument.</t>
        </is>
      </c>
    </row>
    <row r="8">
      <c r="A8" s="32" t="inlineStr">
        <is>
          <t>Lesson Type</t>
        </is>
      </c>
      <c r="B8" s="33" t="inlineStr">
        <is>
          <t>Private Lesson</t>
        </is>
      </c>
      <c r="C8" s="34" t="inlineStr">
        <is>
          <t>ASSUMED from Student profiles: Program/s. Change if it should be something else.</t>
        </is>
      </c>
    </row>
    <row r="9">
      <c r="A9" s="32" t="inlineStr">
        <is>
          <t>Level</t>
        </is>
      </c>
      <c r="B9" s="33" t="inlineStr">
        <is>
          <t>Beginner</t>
        </is>
      </c>
      <c r="C9" s="34" t="inlineStr">
        <is>
          <t>Student profiles: Grade.</t>
        </is>
      </c>
    </row>
    <row r="10">
      <c r="A10" s="32" t="inlineStr">
        <is>
          <t>Lesson duration</t>
        </is>
      </c>
      <c r="B10" s="33" t="inlineStr">
        <is>
          <t>45 minutes</t>
        </is>
      </c>
      <c r="C10" s="34" t="inlineStr">
        <is>
          <t>Student profiles: Lesson duration.</t>
        </is>
      </c>
    </row>
    <row r="11">
      <c r="A11" s="32" t="inlineStr">
        <is>
          <t>Quantity</t>
        </is>
      </c>
      <c r="B11" s="35" t="n">
        <v>10</v>
      </c>
      <c r="C11" s="34" t="inlineStr">
        <is>
          <t>Sessions in the new package. MUST be a number.</t>
        </is>
      </c>
    </row>
    <row r="12">
      <c r="A12" s="32" t="inlineStr">
        <is>
          <t>Unit price</t>
        </is>
      </c>
      <c r="B12" s="35" t="n">
        <v>82.5</v>
      </c>
      <c r="C12" s="34" t="inlineStr">
        <is>
          <t>Current list rate for that duration. MUST be a number.</t>
        </is>
      </c>
    </row>
    <row r="13">
      <c r="A13" s="32" t="inlineStr">
        <is>
          <t>Discount label</t>
        </is>
      </c>
      <c r="B13" s="33" t="inlineStr">
        <is>
          <t>10 Week Package Discount</t>
        </is>
      </c>
      <c r="C13" s="34" t="inlineStr">
        <is>
          <t>Leave blank when there is no discount.</t>
        </is>
      </c>
    </row>
    <row r="14">
      <c r="A14" s="32" t="inlineStr">
        <is>
          <t>Discount amount</t>
        </is>
      </c>
      <c r="B14" s="35" t="n">
        <v>-100</v>
      </c>
      <c r="C14" s="34" t="inlineStr">
        <is>
          <t>NEGATIVE number, or 0 for none. Absorbs legacy and sibling rates.</t>
        </is>
      </c>
    </row>
    <row r="16">
      <c r="A16" s="22" t="inlineStr">
        <is>
          <t>Values above are a worked example (Taylor Tan, INV-101). n8n overwrites B2:B14 every run.</t>
        </is>
      </c>
    </row>
    <row r="17">
      <c r="A17" s="22" t="inlineStr">
        <is>
          <t>Invoice rows 17-21 are spare discount slots for you to fill in by hand.</t>
        </is>
      </c>
    </row>
    <row r="18">
      <c r="A18" s="22" t="inlineStr">
        <is>
          <t>The Total on the Invoice tab is =SUM(G15:G21), so it picks those up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2026-08-15T06:55:51Z</dcterms:created>
  <dcterms:modified xsi:type="dcterms:W3CDTF">2026-08-15T06:55:51Z</dcterms:modified>
</cp:coreProperties>
</file>